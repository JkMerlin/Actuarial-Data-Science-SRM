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lin\Documents\GitHub\Actuarial-Data-Science-SRM\"/>
    </mc:Choice>
  </mc:AlternateContent>
  <xr:revisionPtr revIDLastSave="0" documentId="13_ncr:1_{C6F5797C-AAD0-478F-9A8C-21F325874A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3" i="1"/>
  <c r="H12" i="1"/>
  <c r="H11" i="1"/>
  <c r="H10" i="1"/>
  <c r="H8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" i="1"/>
</calcChain>
</file>

<file path=xl/sharedStrings.xml><?xml version="1.0" encoding="utf-8"?>
<sst xmlns="http://schemas.openxmlformats.org/spreadsheetml/2006/main" count="150" uniqueCount="147">
  <si>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</si>
  <si>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Source Reading</t>
    </r>
  </si>
  <si>
    <r>
      <rPr>
        <sz val="12"/>
        <rFont val="Arial"/>
        <family val="2"/>
      </rPr>
      <t>R Programming</t>
    </r>
  </si>
  <si>
    <r>
      <rPr>
        <sz val="12"/>
        <rFont val="Arial"/>
        <family val="2"/>
      </rPr>
      <t>TBD</t>
    </r>
  </si>
  <si>
    <r>
      <rPr>
        <sz val="12"/>
        <rFont val="Arial"/>
        <family val="2"/>
      </rPr>
      <t>Assumed Knowledge and Review</t>
    </r>
  </si>
  <si>
    <r>
      <rPr>
        <i/>
        <sz val="12"/>
        <rFont val="Arial"/>
        <family val="2"/>
      </rPr>
      <t>Frees 1.1, 1.2, 1.3, 1.4, 1.5, 2.1</t>
    </r>
  </si>
  <si>
    <r>
      <rPr>
        <sz val="12"/>
        <rFont val="Arial"/>
        <family val="2"/>
      </rPr>
      <t>Matrix Algebra</t>
    </r>
  </si>
  <si>
    <r>
      <rPr>
        <i/>
        <sz val="12"/>
        <rFont val="Arial"/>
        <family val="2"/>
      </rPr>
      <t>Frees 2.11, 3.2.3</t>
    </r>
  </si>
  <si>
    <r>
      <rPr>
        <sz val="12"/>
        <rFont val="Arial"/>
        <family val="2"/>
      </rPr>
      <t>Maximum Likelihood Estimation</t>
    </r>
  </si>
  <si>
    <r>
      <rPr>
        <i/>
        <sz val="12"/>
        <rFont val="Arial"/>
        <family val="2"/>
      </rPr>
      <t>Frees 11.9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GPT-4o</t>
    </r>
  </si>
  <si>
    <r>
      <rPr>
        <sz val="12"/>
        <rFont val="Arial"/>
        <family val="2"/>
      </rPr>
      <t>Input and Output Variables</t>
    </r>
  </si>
  <si>
    <r>
      <rPr>
        <i/>
        <sz val="12"/>
        <rFont val="Arial"/>
        <family val="2"/>
      </rPr>
      <t>ISLR 2.1, 3.3.2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1.5, 3.5</t>
    </r>
  </si>
  <si>
    <r>
      <rPr>
        <sz val="12"/>
        <rFont val="Arial"/>
        <family val="2"/>
      </rPr>
      <t>Prediction and Inference</t>
    </r>
  </si>
  <si>
    <r>
      <rPr>
        <i/>
        <sz val="12"/>
        <rFont val="Arial"/>
        <family val="2"/>
      </rPr>
      <t>ISLR 2.1.1</t>
    </r>
  </si>
  <si>
    <r>
      <rPr>
        <sz val="12"/>
        <rFont val="Arial"/>
        <family val="2"/>
      </rPr>
      <t>Parametric Methods</t>
    </r>
  </si>
  <si>
    <r>
      <rPr>
        <i/>
        <sz val="12"/>
        <rFont val="Arial"/>
        <family val="2"/>
      </rPr>
      <t>ISLR 2.1.2</t>
    </r>
  </si>
  <si>
    <r>
      <rPr>
        <sz val="12"/>
        <rFont val="Arial"/>
        <family val="2"/>
      </rPr>
      <t>Non-Parametric Methods</t>
    </r>
  </si>
  <si>
    <r>
      <rPr>
        <i/>
        <sz val="12"/>
        <rFont val="Arial"/>
        <family val="2"/>
      </rPr>
      <t>ISLR 2.1.2, 2.1.3</t>
    </r>
  </si>
  <si>
    <r>
      <rPr>
        <sz val="12"/>
        <rFont val="Arial"/>
        <family val="2"/>
      </rPr>
      <t>Supervised vs Unsupervised Learning</t>
    </r>
  </si>
  <si>
    <r>
      <rPr>
        <i/>
        <sz val="12"/>
        <rFont val="Arial"/>
        <family val="2"/>
      </rPr>
      <t>ISLR 2.1.4</t>
    </r>
  </si>
  <si>
    <r>
      <rPr>
        <sz val="12"/>
        <rFont val="Arial"/>
        <family val="2"/>
      </rPr>
      <t>Regression vs Classification</t>
    </r>
  </si>
  <si>
    <r>
      <rPr>
        <i/>
        <sz val="12"/>
        <rFont val="Arial"/>
        <family val="2"/>
      </rPr>
      <t>ISLR 2.1.5</t>
    </r>
  </si>
  <si>
    <r>
      <rPr>
        <sz val="12"/>
        <rFont val="Arial"/>
        <family val="2"/>
      </rPr>
      <t>Mean Squared Error</t>
    </r>
  </si>
  <si>
    <r>
      <rPr>
        <i/>
        <sz val="12"/>
        <rFont val="Arial"/>
        <family val="2"/>
      </rPr>
      <t>ISLR 2.2.1, 2.2.3</t>
    </r>
  </si>
  <si>
    <r>
      <rPr>
        <sz val="12"/>
        <rFont val="Arial"/>
        <family val="2"/>
      </rPr>
      <t>Bias-Variance Tradeoff</t>
    </r>
  </si>
  <si>
    <r>
      <rPr>
        <i/>
        <sz val="12"/>
        <rFont val="Arial"/>
        <family val="2"/>
      </rPr>
      <t>ISLR 2.2.2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6.2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Wikipedia</t>
    </r>
  </si>
  <si>
    <r>
      <rPr>
        <sz val="12"/>
        <rFont val="Arial"/>
        <family val="2"/>
      </rPr>
      <t>Data Collection</t>
    </r>
  </si>
  <si>
    <r>
      <rPr>
        <i/>
        <sz val="12"/>
        <rFont val="Arial"/>
        <family val="2"/>
      </rPr>
      <t>ISLR 6.4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6.3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GPT-4o</t>
    </r>
  </si>
  <si>
    <r>
      <rPr>
        <sz val="12"/>
        <rFont val="Arial"/>
        <family val="2"/>
      </rPr>
      <t>Bayes Classifier</t>
    </r>
  </si>
  <si>
    <r>
      <rPr>
        <i/>
        <sz val="12"/>
        <rFont val="Arial"/>
        <family val="2"/>
      </rPr>
      <t>ISLR 2.2.3</t>
    </r>
  </si>
  <si>
    <r>
      <rPr>
        <sz val="12"/>
        <rFont val="Arial"/>
        <family val="2"/>
      </rPr>
      <t>K-Nearest Neighbors</t>
    </r>
  </si>
  <si>
    <r>
      <rPr>
        <sz val="12"/>
        <rFont val="Arial"/>
        <family val="2"/>
      </rPr>
      <t>The Validation Set Approach</t>
    </r>
  </si>
  <si>
    <r>
      <rPr>
        <i/>
        <sz val="12"/>
        <rFont val="Arial"/>
        <family val="2"/>
      </rPr>
      <t>ISLR 5.1.1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5.6.2</t>
    </r>
  </si>
  <si>
    <r>
      <rPr>
        <sz val="12"/>
        <rFont val="Arial"/>
        <family val="2"/>
      </rPr>
      <t>Leave-One-Out Cross-Validation</t>
    </r>
  </si>
  <si>
    <r>
      <rPr>
        <i/>
        <sz val="12"/>
        <rFont val="Arial"/>
        <family val="2"/>
      </rPr>
      <t>ISLR 5.1, 5.1.2, 5.1.5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5.6.3</t>
    </r>
  </si>
  <si>
    <r>
      <rPr>
        <sz val="12"/>
        <rFont val="Arial"/>
        <family val="2"/>
      </rPr>
      <t>K-Fold Cross-Validation</t>
    </r>
  </si>
  <si>
    <r>
      <rPr>
        <i/>
        <sz val="12"/>
        <rFont val="Arial"/>
        <family val="2"/>
      </rPr>
      <t>ISLR 5.1.3, 5.1.4</t>
    </r>
  </si>
  <si>
    <r>
      <rPr>
        <sz val="12"/>
        <rFont val="Arial"/>
        <family val="2"/>
      </rPr>
      <t>Simple Linear Regression</t>
    </r>
  </si>
  <si>
    <r>
      <rPr>
        <i/>
        <sz val="12"/>
        <rFont val="Arial"/>
        <family val="2"/>
      </rPr>
      <t>ISLR 3.1, 3.1.1, 3.1.2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2.1, 2.2</t>
    </r>
  </si>
  <si>
    <r>
      <rPr>
        <sz val="12"/>
        <rFont val="Arial"/>
        <family val="2"/>
      </rPr>
      <t>Bias and Standard Error</t>
    </r>
  </si>
  <si>
    <r>
      <rPr>
        <i/>
        <sz val="12"/>
        <rFont val="Arial"/>
        <family val="2"/>
      </rPr>
      <t>ISLR 3.1.2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2.3.2, 2.4</t>
    </r>
  </si>
  <si>
    <r>
      <rPr>
        <sz val="12"/>
        <rFont val="Arial"/>
        <family val="2"/>
      </rPr>
      <t>Sum of Squares and R-Squared</t>
    </r>
  </si>
  <si>
    <r>
      <rPr>
        <i/>
        <sz val="12"/>
        <rFont val="Arial"/>
        <family val="2"/>
      </rPr>
      <t>ISLR 3.1.3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2.3.1, 3.3</t>
    </r>
  </si>
  <si>
    <r>
      <rPr>
        <sz val="12"/>
        <rFont val="Arial"/>
        <family val="2"/>
      </rPr>
      <t>The t-Test</t>
    </r>
  </si>
  <si>
    <r>
      <rPr>
        <i/>
        <sz val="12"/>
        <rFont val="Arial"/>
        <family val="2"/>
      </rPr>
      <t>ISLR 3.1.2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 xml:space="preserve">Frees 2.5, 2.5.1, 3.4,
</t>
    </r>
    <r>
      <rPr>
        <i/>
        <sz val="12"/>
        <rFont val="Arial"/>
        <family val="2"/>
      </rPr>
      <t>3.4.1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GPT-4o</t>
    </r>
  </si>
  <si>
    <r>
      <rPr>
        <sz val="12"/>
        <rFont val="Arial"/>
        <family val="2"/>
      </rPr>
      <t>Confidence and Prediction Interval</t>
    </r>
  </si>
  <si>
    <r>
      <rPr>
        <i/>
        <sz val="12"/>
        <rFont val="Arial"/>
        <family val="2"/>
      </rPr>
      <t>ISLR 3.1.2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 xml:space="preserve">Frees 2.5.2, 2.5.3, 3.4.2,
</t>
    </r>
    <r>
      <rPr>
        <i/>
        <sz val="12"/>
        <rFont val="Arial"/>
        <family val="2"/>
      </rPr>
      <t>3.4.3, 3.4.4, 6.1.2</t>
    </r>
  </si>
  <si>
    <r>
      <rPr>
        <sz val="12"/>
        <rFont val="Arial"/>
        <family val="2"/>
      </rPr>
      <t>Multiple Linear Regression</t>
    </r>
  </si>
  <si>
    <r>
      <rPr>
        <i/>
        <sz val="12"/>
        <rFont val="Arial"/>
        <family val="2"/>
      </rPr>
      <t>ISLR 3.2, 3.2.1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3.1, 3.2, 3.3</t>
    </r>
  </si>
  <si>
    <r>
      <rPr>
        <sz val="12"/>
        <rFont val="Arial"/>
        <family val="2"/>
      </rPr>
      <t>The F-Test</t>
    </r>
  </si>
  <si>
    <r>
      <rPr>
        <i/>
        <sz val="12"/>
        <rFont val="Arial"/>
        <family val="2"/>
      </rPr>
      <t>ISLR 3.2.2</t>
    </r>
  </si>
  <si>
    <r>
      <rPr>
        <sz val="12"/>
        <rFont val="Arial"/>
        <family val="2"/>
      </rPr>
      <t>ANOVA</t>
    </r>
  </si>
  <si>
    <r>
      <rPr>
        <i/>
        <sz val="12"/>
        <rFont val="Arial"/>
        <family val="2"/>
      </rPr>
      <t>Frees 2.3.2, 3.3</t>
    </r>
  </si>
  <si>
    <r>
      <rPr>
        <sz val="12"/>
        <rFont val="Arial"/>
        <family val="2"/>
      </rPr>
      <t>Subset Selection</t>
    </r>
  </si>
  <si>
    <r>
      <rPr>
        <i/>
        <sz val="12"/>
        <rFont val="Arial"/>
        <family val="2"/>
      </rPr>
      <t>ISLR 3.2.2, 6.1, 6.1.1, 6.1.2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5.2</t>
    </r>
  </si>
  <si>
    <r>
      <rPr>
        <sz val="12"/>
        <rFont val="Arial"/>
        <family val="2"/>
      </rPr>
      <t>Choosing the Best Model</t>
    </r>
  </si>
  <si>
    <r>
      <rPr>
        <i/>
        <sz val="12"/>
        <rFont val="Arial"/>
        <family val="2"/>
      </rPr>
      <t>ISLR 6.1.3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5.6.1</t>
    </r>
  </si>
  <si>
    <r>
      <rPr>
        <sz val="12"/>
        <rFont val="Arial"/>
        <family val="2"/>
      </rPr>
      <t>Residual Analysis</t>
    </r>
  </si>
  <si>
    <r>
      <rPr>
        <i/>
        <sz val="12"/>
        <rFont val="Arial"/>
        <family val="2"/>
      </rPr>
      <t>Frees 2.6, 5.3</t>
    </r>
  </si>
  <si>
    <r>
      <rPr>
        <sz val="12"/>
        <rFont val="Arial"/>
        <family val="2"/>
      </rPr>
      <t>Influential Points</t>
    </r>
  </si>
  <si>
    <r>
      <rPr>
        <i/>
        <sz val="12"/>
        <rFont val="Arial"/>
        <family val="2"/>
      </rPr>
      <t>Frees 2.6, 5.4</t>
    </r>
  </si>
  <si>
    <r>
      <rPr>
        <sz val="12"/>
        <rFont val="Arial"/>
        <family val="2"/>
      </rPr>
      <t>Collinearity</t>
    </r>
  </si>
  <si>
    <r>
      <rPr>
        <i/>
        <sz val="12"/>
        <rFont val="Arial"/>
        <family val="2"/>
      </rPr>
      <t>Frees 5.5, 6.1.1</t>
    </r>
  </si>
  <si>
    <r>
      <rPr>
        <sz val="12"/>
        <rFont val="Arial"/>
        <family val="2"/>
      </rPr>
      <t>Heteroscedasticity</t>
    </r>
  </si>
  <si>
    <r>
      <rPr>
        <i/>
        <sz val="12"/>
        <rFont val="Arial"/>
        <family val="2"/>
      </rPr>
      <t>Frees 5.7</t>
    </r>
  </si>
  <si>
    <r>
      <rPr>
        <sz val="12"/>
        <rFont val="Arial"/>
        <family val="2"/>
      </rPr>
      <t>Ridge Regression</t>
    </r>
  </si>
  <si>
    <r>
      <rPr>
        <i/>
        <sz val="12"/>
        <rFont val="Arial"/>
        <family val="2"/>
      </rPr>
      <t>ISLR 6.2.1</t>
    </r>
  </si>
  <si>
    <r>
      <rPr>
        <sz val="12"/>
        <rFont val="Arial"/>
        <family val="2"/>
      </rPr>
      <t>The Lasso</t>
    </r>
  </si>
  <si>
    <r>
      <rPr>
        <i/>
        <sz val="12"/>
        <rFont val="Arial"/>
        <family val="2"/>
      </rPr>
      <t>ISLR 6.2.2, 6.2.3</t>
    </r>
  </si>
  <si>
    <r>
      <rPr>
        <sz val="12"/>
        <rFont val="Arial"/>
        <family val="2"/>
      </rPr>
      <t>Binary Dependent Variables</t>
    </r>
  </si>
  <si>
    <r>
      <rPr>
        <i/>
        <sz val="12"/>
        <rFont val="Arial"/>
        <family val="2"/>
      </rPr>
      <t>ISLR 3.3.1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11.1</t>
    </r>
  </si>
  <si>
    <r>
      <rPr>
        <sz val="12"/>
        <rFont val="Arial"/>
        <family val="2"/>
      </rPr>
      <t>Logit and Probit Models</t>
    </r>
  </si>
  <si>
    <r>
      <rPr>
        <i/>
        <sz val="12"/>
        <rFont val="Arial"/>
        <family val="2"/>
      </rPr>
      <t>Frees 11.2, 11.3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Wikipedia</t>
    </r>
  </si>
  <si>
    <r>
      <rPr>
        <sz val="12"/>
        <rFont val="Arial"/>
        <family val="2"/>
      </rPr>
      <t>Nominal Dependent Variables</t>
    </r>
  </si>
  <si>
    <r>
      <rPr>
        <i/>
        <sz val="12"/>
        <rFont val="Arial"/>
        <family val="2"/>
      </rPr>
      <t>ISLR 3.3.1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Frees 11.5</t>
    </r>
    <r>
      <rPr>
        <sz val="12"/>
        <rFont val="Arial"/>
        <family val="2"/>
      </rPr>
      <t xml:space="preserve">, </t>
    </r>
    <r>
      <rPr>
        <i/>
        <sz val="12"/>
        <rFont val="Arial"/>
        <family val="2"/>
      </rPr>
      <t>External</t>
    </r>
  </si>
  <si>
    <r>
      <rPr>
        <sz val="12"/>
        <rFont val="Arial"/>
        <family val="2"/>
      </rPr>
      <t>Ordinal Dependent Variables</t>
    </r>
  </si>
  <si>
    <r>
      <rPr>
        <i/>
        <sz val="12"/>
        <rFont val="Arial"/>
        <family val="2"/>
      </rPr>
      <t>Frees 11.6</t>
    </r>
  </si>
  <si>
    <r>
      <rPr>
        <sz val="12"/>
        <rFont val="Arial"/>
        <family val="2"/>
      </rPr>
      <t>Poisson Regression</t>
    </r>
  </si>
  <si>
    <r>
      <rPr>
        <i/>
        <sz val="12"/>
        <rFont val="Arial"/>
        <family val="2"/>
      </rPr>
      <t>Frees 12.1</t>
    </r>
  </si>
  <si>
    <r>
      <rPr>
        <sz val="12"/>
        <rFont val="Arial"/>
        <family val="2"/>
      </rPr>
      <t>Other Count Models</t>
    </r>
  </si>
  <si>
    <r>
      <rPr>
        <i/>
        <sz val="12"/>
        <rFont val="Arial"/>
        <family val="2"/>
      </rPr>
      <t>Frees 12.3, 12.4</t>
    </r>
  </si>
  <si>
    <r>
      <rPr>
        <sz val="12"/>
        <rFont val="Arial"/>
        <family val="2"/>
      </rPr>
      <t>Generalized Linear Models</t>
    </r>
  </si>
  <si>
    <r>
      <rPr>
        <i/>
        <sz val="12"/>
        <rFont val="Arial"/>
        <family val="2"/>
      </rPr>
      <t>Frees 13.1, 13.2, 13.6</t>
    </r>
  </si>
  <si>
    <r>
      <rPr>
        <sz val="12"/>
        <rFont val="Arial"/>
        <family val="2"/>
      </rPr>
      <t>Estimation in GLMs</t>
    </r>
  </si>
  <si>
    <r>
      <rPr>
        <i/>
        <sz val="12"/>
        <rFont val="Arial"/>
        <family val="2"/>
      </rPr>
      <t>Frees 13.3, 13.5</t>
    </r>
  </si>
  <si>
    <r>
      <rPr>
        <sz val="12"/>
        <rFont val="Arial"/>
        <family val="2"/>
      </rPr>
      <t>Introduction to Time Series</t>
    </r>
  </si>
  <si>
    <r>
      <rPr>
        <i/>
        <sz val="12"/>
        <rFont val="Arial"/>
        <family val="2"/>
      </rPr>
      <t>Frees 6.1.1, 7.1, 7.2</t>
    </r>
  </si>
  <si>
    <r>
      <rPr>
        <sz val="12"/>
        <rFont val="Arial"/>
        <family val="2"/>
      </rPr>
      <t>Stationarity</t>
    </r>
  </si>
  <si>
    <r>
      <rPr>
        <i/>
        <sz val="12"/>
        <rFont val="Arial"/>
        <family val="2"/>
      </rPr>
      <t>Frees 7.3, 7.4, 7.5</t>
    </r>
  </si>
  <si>
    <r>
      <rPr>
        <sz val="12"/>
        <rFont val="Arial"/>
        <family val="2"/>
      </rPr>
      <t>Forecast Evaluation</t>
    </r>
  </si>
  <si>
    <r>
      <rPr>
        <i/>
        <sz val="12"/>
        <rFont val="Arial"/>
        <family val="2"/>
      </rPr>
      <t>Frees 7.6</t>
    </r>
  </si>
  <si>
    <r>
      <rPr>
        <sz val="12"/>
        <rFont val="Arial"/>
        <family val="2"/>
      </rPr>
      <t>Autoregressive Models</t>
    </r>
  </si>
  <si>
    <r>
      <rPr>
        <i/>
        <sz val="12"/>
        <rFont val="Arial"/>
        <family val="2"/>
      </rPr>
      <t>Frees 8.1, 8.2, 8.3, 8.4</t>
    </r>
  </si>
  <si>
    <r>
      <rPr>
        <sz val="12"/>
        <rFont val="Arial"/>
        <family val="2"/>
      </rPr>
      <t>Smoothing</t>
    </r>
  </si>
  <si>
    <r>
      <rPr>
        <i/>
        <sz val="12"/>
        <rFont val="Arial"/>
        <family val="2"/>
      </rPr>
      <t>Frees 9.1, 9.2</t>
    </r>
  </si>
  <si>
    <r>
      <rPr>
        <sz val="12"/>
        <rFont val="Arial"/>
        <family val="2"/>
      </rPr>
      <t>Exponential Smoothing</t>
    </r>
  </si>
  <si>
    <r>
      <rPr>
        <i/>
        <sz val="12"/>
        <rFont val="Arial"/>
        <family val="2"/>
      </rPr>
      <t>Frees 9.2</t>
    </r>
  </si>
  <si>
    <r>
      <rPr>
        <sz val="12"/>
        <rFont val="Arial"/>
        <family val="2"/>
      </rPr>
      <t>Seasonal Adjustments</t>
    </r>
  </si>
  <si>
    <r>
      <rPr>
        <i/>
        <sz val="12"/>
        <rFont val="Arial"/>
        <family val="2"/>
      </rPr>
      <t>Frees 9.3</t>
    </r>
  </si>
  <si>
    <r>
      <rPr>
        <sz val="12"/>
        <rFont val="Arial"/>
        <family val="2"/>
      </rPr>
      <t>Unit Root Test</t>
    </r>
  </si>
  <si>
    <r>
      <rPr>
        <i/>
        <sz val="12"/>
        <rFont val="Arial"/>
        <family val="2"/>
      </rPr>
      <t>Frees 9.4</t>
    </r>
  </si>
  <si>
    <r>
      <rPr>
        <sz val="12"/>
        <rFont val="Arial"/>
        <family val="2"/>
      </rPr>
      <t>ARCH and GARCH Models</t>
    </r>
  </si>
  <si>
    <r>
      <rPr>
        <i/>
        <sz val="12"/>
        <rFont val="Arial"/>
        <family val="2"/>
      </rPr>
      <t>Frees 9.5, External</t>
    </r>
  </si>
  <si>
    <r>
      <rPr>
        <sz val="12"/>
        <rFont val="Arial"/>
        <family val="2"/>
      </rPr>
      <t>Introduction to Decision Trees</t>
    </r>
  </si>
  <si>
    <r>
      <rPr>
        <i/>
        <sz val="12"/>
        <rFont val="Arial"/>
        <family val="2"/>
      </rPr>
      <t>ISLR 8.1, GPT-4o</t>
    </r>
  </si>
  <si>
    <r>
      <rPr>
        <sz val="12"/>
        <rFont val="Arial"/>
        <family val="2"/>
      </rPr>
      <t>Regression Trees</t>
    </r>
  </si>
  <si>
    <r>
      <rPr>
        <i/>
        <sz val="12"/>
        <rFont val="Arial"/>
        <family val="2"/>
      </rPr>
      <t>ISLR 8.1.1</t>
    </r>
  </si>
  <si>
    <r>
      <rPr>
        <sz val="12"/>
        <rFont val="Arial"/>
        <family val="2"/>
      </rPr>
      <t>Binary Splitting</t>
    </r>
  </si>
  <si>
    <r>
      <rPr>
        <sz val="12"/>
        <rFont val="Arial"/>
        <family val="2"/>
      </rPr>
      <t>Pruning</t>
    </r>
  </si>
  <si>
    <r>
      <rPr>
        <sz val="12"/>
        <rFont val="Arial"/>
        <family val="2"/>
      </rPr>
      <t>Classification Trees</t>
    </r>
  </si>
  <si>
    <r>
      <rPr>
        <i/>
        <sz val="12"/>
        <rFont val="Arial"/>
        <family val="2"/>
      </rPr>
      <t>ISLR 8.1.2</t>
    </r>
  </si>
  <si>
    <r>
      <rPr>
        <sz val="12"/>
        <rFont val="Arial"/>
        <family val="2"/>
      </rPr>
      <t>Trees vs Linear Models</t>
    </r>
  </si>
  <si>
    <r>
      <rPr>
        <i/>
        <sz val="12"/>
        <rFont val="Arial"/>
        <family val="2"/>
      </rPr>
      <t>ISLR 8.1.3, 8.1.4</t>
    </r>
  </si>
  <si>
    <r>
      <rPr>
        <sz val="12"/>
        <rFont val="Arial"/>
        <family val="2"/>
      </rPr>
      <t>Bagging</t>
    </r>
  </si>
  <si>
    <r>
      <rPr>
        <i/>
        <sz val="12"/>
        <rFont val="Arial"/>
        <family val="2"/>
      </rPr>
      <t>ISLR 8.2.1</t>
    </r>
  </si>
  <si>
    <r>
      <rPr>
        <sz val="12"/>
        <rFont val="Arial"/>
        <family val="2"/>
      </rPr>
      <t>Random Forests</t>
    </r>
  </si>
  <si>
    <r>
      <rPr>
        <i/>
        <sz val="12"/>
        <rFont val="Arial"/>
        <family val="2"/>
      </rPr>
      <t>ISLR 8.2.2</t>
    </r>
  </si>
  <si>
    <r>
      <rPr>
        <sz val="12"/>
        <rFont val="Arial"/>
        <family val="2"/>
      </rPr>
      <t>Boosting</t>
    </r>
  </si>
  <si>
    <r>
      <rPr>
        <i/>
        <sz val="12"/>
        <rFont val="Arial"/>
        <family val="2"/>
      </rPr>
      <t>ISLR 8.2.3</t>
    </r>
  </si>
  <si>
    <r>
      <rPr>
        <sz val="12"/>
        <rFont val="Arial"/>
        <family val="2"/>
      </rPr>
      <t>Introduction to Unsupervised Learning</t>
    </r>
  </si>
  <si>
    <r>
      <rPr>
        <i/>
        <sz val="12"/>
        <rFont val="Arial"/>
        <family val="2"/>
      </rPr>
      <t>ISLR 12.1</t>
    </r>
  </si>
  <si>
    <r>
      <rPr>
        <sz val="12"/>
        <rFont val="Arial"/>
        <family val="2"/>
      </rPr>
      <t>Principal Components Regression</t>
    </r>
  </si>
  <si>
    <r>
      <rPr>
        <i/>
        <sz val="12"/>
        <rFont val="Arial"/>
        <family val="2"/>
      </rPr>
      <t>ISLR 6.3, 6.3.1, 6.3.2</t>
    </r>
  </si>
  <si>
    <r>
      <rPr>
        <sz val="12"/>
        <rFont val="Arial"/>
        <family val="2"/>
      </rPr>
      <t>Principal Components Analysis</t>
    </r>
  </si>
  <si>
    <r>
      <rPr>
        <i/>
        <sz val="12"/>
        <rFont val="Arial"/>
        <family val="2"/>
      </rPr>
      <t xml:space="preserve">ISLR 12.2, 12.2.1, 12.2.2, 12.2.4,
</t>
    </r>
    <r>
      <rPr>
        <i/>
        <sz val="12"/>
        <rFont val="Arial"/>
        <family val="2"/>
      </rPr>
      <t>12.2.5</t>
    </r>
  </si>
  <si>
    <r>
      <rPr>
        <sz val="12"/>
        <rFont val="Arial"/>
        <family val="2"/>
      </rPr>
      <t>Clustering</t>
    </r>
  </si>
  <si>
    <r>
      <rPr>
        <i/>
        <sz val="12"/>
        <rFont val="Arial"/>
        <family val="2"/>
      </rPr>
      <t>ISLR 2.1.4, 12.4, 12.4.3</t>
    </r>
  </si>
  <si>
    <r>
      <rPr>
        <sz val="12"/>
        <rFont val="Arial"/>
        <family val="2"/>
      </rPr>
      <t>K-Means Clustering</t>
    </r>
  </si>
  <si>
    <r>
      <rPr>
        <i/>
        <sz val="12"/>
        <rFont val="Arial"/>
        <family val="2"/>
      </rPr>
      <t>ISLR 12.4.1</t>
    </r>
  </si>
  <si>
    <r>
      <rPr>
        <sz val="12"/>
        <rFont val="Arial"/>
        <family val="2"/>
      </rPr>
      <t>Hierarchical Clustering</t>
    </r>
  </si>
  <si>
    <r>
      <rPr>
        <i/>
        <sz val="12"/>
        <rFont val="Arial"/>
        <family val="2"/>
      </rPr>
      <t>ISLR 12.4.2</t>
    </r>
  </si>
  <si>
    <t>Subsection</t>
  </si>
  <si>
    <t>Status</t>
  </si>
  <si>
    <t xml:space="preserve">Not Done </t>
  </si>
  <si>
    <t>Introduction and Review</t>
  </si>
  <si>
    <t>Basics of Statistical Learning  5-10%</t>
  </si>
  <si>
    <t>Linear Models 40-50%</t>
  </si>
  <si>
    <t>Time Series Models 10-15%</t>
  </si>
  <si>
    <t>Decision Trees 20-25%</t>
  </si>
  <si>
    <t>Unsupervised Learning Techniques 10-15%</t>
  </si>
  <si>
    <t>Basics of Statistical Learning (10-15%)</t>
  </si>
  <si>
    <t>Linear Models (40-50%)</t>
  </si>
  <si>
    <t>Time Series Models (10-15%)</t>
  </si>
  <si>
    <t>Decision Trees (20-25%)</t>
  </si>
  <si>
    <t>Unsupervised Learning Techniques (10-15%)</t>
  </si>
  <si>
    <t>Toal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</si>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</sst>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2"/>
      <name val="Arial"/>
    </font>
    <font>
      <sz val="12"/>
      <name val="Arial"/>
    </font>
    <font>
      <i/>
      <sz val="12"/>
      <name val="Arial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334054"/>
      </left>
      <right style="thin">
        <color rgb="FF334054"/>
      </right>
      <top style="thin">
        <color rgb="FF334054"/>
      </top>
      <bottom style="thin">
        <color rgb="FF334054"/>
      </bottom>
      <diagonal/>
    </border>
    <border>
      <left style="thin">
        <color rgb="FF334054"/>
      </left>
      <right style="thin">
        <color rgb="FF334054"/>
      </right>
      <top style="thin">
        <color rgb="FF334054"/>
      </top>
      <bottom/>
      <diagonal/>
    </border>
    <border>
      <left style="thin">
        <color rgb="FF334054"/>
      </left>
      <right style="thin">
        <color rgb="FF334054"/>
      </right>
      <top/>
      <bottom/>
      <diagonal/>
    </border>
    <border>
      <left style="thin">
        <color rgb="FF334054"/>
      </left>
      <right style="thin">
        <color rgb="FF334054"/>
      </right>
      <top/>
      <bottom style="thin">
        <color rgb="FF33405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0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5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42-40F1-A4AA-BEBD4E9D12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42-40F1-A4AA-BEBD4E9D12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9.7354114604561864E-2"/>
                  <c:y val="0.1878540792157077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42-40F1-A4AA-BEBD4E9D129F}"/>
                </c:ext>
              </c:extLst>
            </c:dLbl>
            <c:dLbl>
              <c:idx val="1"/>
              <c:layout>
                <c:manualLayout>
                  <c:x val="-0.1000902624409053"/>
                  <c:y val="-0.1310210613917161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42-40F1-A4AA-BEBD4E9D12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1'!$G$8:$G$13</c:f>
              <c:strCache>
                <c:ptCount val="6"/>
                <c:pt idx="0">
                  <c:v>Not Done </c:v>
                </c:pt>
                <c:pt idx="1">
                  <c:v>Basics of Statistical Learning (10-15%)</c:v>
                </c:pt>
                <c:pt idx="2">
                  <c:v>Linear Models (40-50%)</c:v>
                </c:pt>
                <c:pt idx="3">
                  <c:v>Time Series Models (10-15%)</c:v>
                </c:pt>
                <c:pt idx="4">
                  <c:v>Decision Trees (20-25%)</c:v>
                </c:pt>
                <c:pt idx="5">
                  <c:v>Unsupervised Learning Techniques (10-15%)</c:v>
                </c:pt>
              </c:strCache>
            </c:strRef>
          </c:cat>
          <c:val>
            <c:numRef>
              <c:f>'Table 1'!$H$8:$H$13</c:f>
              <c:numCache>
                <c:formatCode>0.00</c:formatCode>
                <c:ptCount val="6"/>
                <c:pt idx="0">
                  <c:v>95.488721804511272</c:v>
                </c:pt>
                <c:pt idx="1">
                  <c:v>4.5112781954887211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2-40F1-A4AA-BEBD4E9D1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4586428991023"/>
          <c:y val="0.32541066513027339"/>
          <c:w val="0.31335204298729435"/>
          <c:h val="0.67458933486972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566736</xdr:colOff>
      <xdr:row>13</xdr:row>
      <xdr:rowOff>152399</xdr:rowOff>
    </xdr:from>
    <xdr:to>
      <xdr:col>16</xdr:col>
      <xdr:colOff>9524</xdr:colOff>
      <xdr:row>20</xdr:row>
      <xdr:rowOff>247649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103C9-4D99-75EB-18D6-790DEC493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55" workbookViewId="0">
      <selection activeCell="E10" sqref="E10:E67"/>
    </sheetView>
  </sheetViews>
  <sheetFormatPr defaultRowHeight="12.75" x14ac:dyDescent="0.2"/>
  <cols>
    <col min="1" max="1" width="16.1640625" customWidth="1"/>
    <col min="2" max="2" width="51.5" customWidth="1"/>
    <col min="3" max="3" width="52.5" customWidth="1"/>
    <col min="5" max="5" width="15.6640625" customWidth="1"/>
    <col min="7" max="7" width="39" customWidth="1"/>
  </cols>
  <sheetData>
    <row r="1" spans="1:8" ht="21" customHeight="1" x14ac:dyDescent="0.2">
      <c r="A1" s="1" t="s">
        <v>0</v>
      </c>
      <c r="B1" s="5" t="s">
        <v>131</v>
      </c>
      <c r="C1" s="1" t="s">
        <v>1</v>
      </c>
      <c r="D1" t="s">
        <v>145</v>
      </c>
      <c r="E1" t="s">
        <v>146</v>
      </c>
      <c r="F1" s="6" t="s">
        <v>132</v>
      </c>
    </row>
    <row r="2" spans="1:8" ht="15" customHeight="1" x14ac:dyDescent="0.2">
      <c r="A2" s="10" t="s">
        <v>134</v>
      </c>
      <c r="B2" s="2" t="s">
        <v>2</v>
      </c>
      <c r="C2" s="2" t="s">
        <v>3</v>
      </c>
    </row>
    <row r="3" spans="1:8" ht="18.75" customHeight="1" x14ac:dyDescent="0.2">
      <c r="A3" s="11"/>
      <c r="B3" s="2" t="s">
        <v>4</v>
      </c>
      <c r="C3" s="3" t="s">
        <v>5</v>
      </c>
    </row>
    <row r="4" spans="1:8" ht="23.25" customHeight="1" x14ac:dyDescent="0.2">
      <c r="A4" s="11"/>
      <c r="B4" s="2" t="s">
        <v>6</v>
      </c>
      <c r="C4" s="3" t="s">
        <v>7</v>
      </c>
    </row>
    <row r="5" spans="1:8" ht="26.25" customHeight="1" x14ac:dyDescent="0.2">
      <c r="A5" s="12"/>
      <c r="B5" s="2" t="s">
        <v>8</v>
      </c>
      <c r="C5" s="4" t="s">
        <v>9</v>
      </c>
    </row>
    <row r="6" spans="1:8" ht="20.25" customHeight="1" x14ac:dyDescent="0.2">
      <c r="A6" s="13" t="s">
        <v>135</v>
      </c>
      <c r="B6" s="2" t="s">
        <v>10</v>
      </c>
      <c r="C6" s="4" t="s">
        <v>11</v>
      </c>
      <c r="D6">
        <v>4</v>
      </c>
      <c r="E6">
        <v>2</v>
      </c>
      <c r="F6" s="8">
        <f>E6/D6</f>
        <v>0.5</v>
      </c>
    </row>
    <row r="7" spans="1:8" ht="33.75" customHeight="1" x14ac:dyDescent="0.2">
      <c r="A7" s="14"/>
      <c r="B7" s="2" t="s">
        <v>12</v>
      </c>
      <c r="C7" s="3" t="s">
        <v>13</v>
      </c>
      <c r="D7">
        <v>1</v>
      </c>
      <c r="E7">
        <v>1</v>
      </c>
      <c r="F7" s="8">
        <f t="shared" ref="F7:F67" si="0">E7/D7</f>
        <v>1</v>
      </c>
    </row>
    <row r="8" spans="1:8" ht="33.75" customHeight="1" x14ac:dyDescent="0.2">
      <c r="A8" s="14"/>
      <c r="B8" s="2" t="s">
        <v>14</v>
      </c>
      <c r="C8" s="3" t="s">
        <v>15</v>
      </c>
      <c r="D8">
        <v>1</v>
      </c>
      <c r="E8">
        <v>1</v>
      </c>
      <c r="F8" s="8">
        <f t="shared" si="0"/>
        <v>1</v>
      </c>
      <c r="G8" s="7" t="s">
        <v>133</v>
      </c>
      <c r="H8" s="9">
        <f>100-(SUM(E6:E67)/SUM(D6:D67))*100</f>
        <v>95.488721804511272</v>
      </c>
    </row>
    <row r="9" spans="1:8" ht="33.75" customHeight="1" x14ac:dyDescent="0.2">
      <c r="A9" s="14"/>
      <c r="B9" s="2" t="s">
        <v>16</v>
      </c>
      <c r="C9" s="3" t="s">
        <v>17</v>
      </c>
      <c r="D9">
        <v>2</v>
      </c>
      <c r="E9">
        <v>2</v>
      </c>
      <c r="F9" s="8">
        <f t="shared" si="0"/>
        <v>1</v>
      </c>
      <c r="G9" s="7" t="s">
        <v>140</v>
      </c>
      <c r="H9" s="9">
        <f>(SUM(E6:E17)/SUM(D6:D67))*100</f>
        <v>4.5112781954887211</v>
      </c>
    </row>
    <row r="10" spans="1:8" ht="26.25" customHeight="1" x14ac:dyDescent="0.2">
      <c r="A10" s="14"/>
      <c r="B10" s="2" t="s">
        <v>18</v>
      </c>
      <c r="C10" s="3" t="s">
        <v>19</v>
      </c>
      <c r="D10">
        <v>1</v>
      </c>
      <c r="E10">
        <v>0</v>
      </c>
      <c r="F10" s="8">
        <f t="shared" si="0"/>
        <v>0</v>
      </c>
      <c r="G10" s="7" t="s">
        <v>141</v>
      </c>
      <c r="H10" s="9">
        <f>SUM(E18:E43)*100/SUM(D6:D67)</f>
        <v>0</v>
      </c>
    </row>
    <row r="11" spans="1:8" ht="33.75" customHeight="1" x14ac:dyDescent="0.2">
      <c r="A11" s="14"/>
      <c r="B11" s="2" t="s">
        <v>20</v>
      </c>
      <c r="C11" s="3" t="s">
        <v>21</v>
      </c>
      <c r="D11">
        <v>1</v>
      </c>
      <c r="E11">
        <v>0</v>
      </c>
      <c r="F11" s="8">
        <f t="shared" si="0"/>
        <v>0</v>
      </c>
      <c r="G11" s="7" t="s">
        <v>142</v>
      </c>
      <c r="H11" s="9">
        <f>SUM(E44:E52)*100/SUM(D6:D67)</f>
        <v>0</v>
      </c>
    </row>
    <row r="12" spans="1:8" ht="33.75" customHeight="1" x14ac:dyDescent="0.2">
      <c r="A12" s="14"/>
      <c r="B12" s="2" t="s">
        <v>22</v>
      </c>
      <c r="C12" s="3" t="s">
        <v>23</v>
      </c>
      <c r="D12">
        <v>2</v>
      </c>
      <c r="E12">
        <v>0</v>
      </c>
      <c r="F12" s="8">
        <f t="shared" si="0"/>
        <v>0</v>
      </c>
      <c r="G12" s="7" t="s">
        <v>143</v>
      </c>
      <c r="H12" s="9">
        <f>SUM(E53:E61)*100/SUM(D6:D67)</f>
        <v>0</v>
      </c>
    </row>
    <row r="13" spans="1:8" ht="33.75" customHeight="1" x14ac:dyDescent="0.2">
      <c r="A13" s="14"/>
      <c r="B13" s="2" t="s">
        <v>24</v>
      </c>
      <c r="C13" s="4" t="s">
        <v>25</v>
      </c>
      <c r="D13">
        <v>2</v>
      </c>
      <c r="E13">
        <v>0</v>
      </c>
      <c r="F13" s="8">
        <f t="shared" si="0"/>
        <v>0</v>
      </c>
      <c r="G13" s="7" t="s">
        <v>144</v>
      </c>
      <c r="H13" s="9">
        <f>SUM(E62:E67)*100/SUM(D6:D67)</f>
        <v>0</v>
      </c>
    </row>
    <row r="14" spans="1:8" ht="33.75" customHeight="1" x14ac:dyDescent="0.2">
      <c r="A14" s="14"/>
      <c r="B14" s="2" t="s">
        <v>26</v>
      </c>
      <c r="C14" s="4" t="s">
        <v>27</v>
      </c>
      <c r="D14">
        <v>2</v>
      </c>
      <c r="E14">
        <v>0</v>
      </c>
      <c r="F14" s="8">
        <f t="shared" si="0"/>
        <v>0</v>
      </c>
    </row>
    <row r="15" spans="1:8" ht="33.75" customHeight="1" x14ac:dyDescent="0.2">
      <c r="A15" s="14"/>
      <c r="B15" s="2" t="s">
        <v>28</v>
      </c>
      <c r="C15" s="3" t="s">
        <v>29</v>
      </c>
      <c r="D15">
        <v>1</v>
      </c>
      <c r="E15">
        <v>0</v>
      </c>
      <c r="F15" s="8">
        <f t="shared" si="0"/>
        <v>0</v>
      </c>
    </row>
    <row r="16" spans="1:8" ht="33.75" customHeight="1" x14ac:dyDescent="0.2">
      <c r="A16" s="14"/>
      <c r="B16" s="2" t="s">
        <v>30</v>
      </c>
      <c r="C16" s="3" t="s">
        <v>29</v>
      </c>
      <c r="D16">
        <v>1</v>
      </c>
      <c r="E16">
        <v>0</v>
      </c>
      <c r="F16" s="8">
        <f t="shared" si="0"/>
        <v>0</v>
      </c>
    </row>
    <row r="17" spans="1:6" ht="17.25" customHeight="1" x14ac:dyDescent="0.2">
      <c r="A17" s="14"/>
      <c r="B17" s="2" t="s">
        <v>31</v>
      </c>
      <c r="C17" s="4" t="s">
        <v>32</v>
      </c>
      <c r="D17">
        <v>2</v>
      </c>
      <c r="E17">
        <v>0</v>
      </c>
      <c r="F17" s="8">
        <f t="shared" si="0"/>
        <v>0</v>
      </c>
    </row>
    <row r="18" spans="1:6" ht="21.75" customHeight="1" x14ac:dyDescent="0.2">
      <c r="A18" s="13" t="s">
        <v>136</v>
      </c>
      <c r="B18" s="2" t="s">
        <v>33</v>
      </c>
      <c r="C18" s="4" t="s">
        <v>34</v>
      </c>
      <c r="D18">
        <v>4</v>
      </c>
      <c r="E18">
        <v>0</v>
      </c>
      <c r="F18" s="8">
        <f t="shared" si="0"/>
        <v>0</v>
      </c>
    </row>
    <row r="19" spans="1:6" ht="33.75" customHeight="1" x14ac:dyDescent="0.2">
      <c r="A19" s="15"/>
      <c r="B19" s="2" t="s">
        <v>35</v>
      </c>
      <c r="C19" s="3" t="s">
        <v>36</v>
      </c>
      <c r="D19">
        <v>2</v>
      </c>
      <c r="E19">
        <v>0</v>
      </c>
      <c r="F19" s="8">
        <f t="shared" si="0"/>
        <v>0</v>
      </c>
    </row>
    <row r="20" spans="1:6" ht="33.75" customHeight="1" x14ac:dyDescent="0.2">
      <c r="A20" s="15"/>
      <c r="B20" s="2" t="s">
        <v>37</v>
      </c>
      <c r="C20" s="4" t="s">
        <v>38</v>
      </c>
      <c r="D20">
        <v>5</v>
      </c>
      <c r="E20">
        <v>0</v>
      </c>
      <c r="F20" s="8">
        <f t="shared" si="0"/>
        <v>0</v>
      </c>
    </row>
    <row r="21" spans="1:6" ht="33.75" customHeight="1" x14ac:dyDescent="0.2">
      <c r="A21" s="15"/>
      <c r="B21" s="2" t="s">
        <v>39</v>
      </c>
      <c r="C21" s="4" t="s">
        <v>40</v>
      </c>
      <c r="D21">
        <v>3</v>
      </c>
      <c r="E21">
        <v>0</v>
      </c>
      <c r="F21" s="8">
        <f t="shared" si="0"/>
        <v>0</v>
      </c>
    </row>
    <row r="22" spans="1:6" ht="49.7" customHeight="1" x14ac:dyDescent="0.2">
      <c r="A22" s="15"/>
      <c r="B22" s="2" t="s">
        <v>41</v>
      </c>
      <c r="C22" s="4" t="s">
        <v>42</v>
      </c>
      <c r="D22">
        <v>3</v>
      </c>
      <c r="E22">
        <v>0</v>
      </c>
      <c r="F22" s="8">
        <f t="shared" si="0"/>
        <v>0</v>
      </c>
    </row>
    <row r="23" spans="1:6" ht="49.7" customHeight="1" x14ac:dyDescent="0.2">
      <c r="A23" s="15"/>
      <c r="B23" s="2" t="s">
        <v>43</v>
      </c>
      <c r="C23" s="4" t="s">
        <v>44</v>
      </c>
      <c r="D23">
        <v>5</v>
      </c>
      <c r="E23">
        <v>0</v>
      </c>
      <c r="F23" s="8">
        <f t="shared" si="0"/>
        <v>0</v>
      </c>
    </row>
    <row r="24" spans="1:6" ht="49.7" customHeight="1" x14ac:dyDescent="0.2">
      <c r="A24" s="15"/>
      <c r="B24" s="2" t="s">
        <v>45</v>
      </c>
      <c r="C24" s="4" t="s">
        <v>46</v>
      </c>
      <c r="D24">
        <v>7</v>
      </c>
      <c r="E24">
        <v>0</v>
      </c>
      <c r="F24" s="8">
        <f t="shared" si="0"/>
        <v>0</v>
      </c>
    </row>
    <row r="25" spans="1:6" ht="33.75" customHeight="1" x14ac:dyDescent="0.2">
      <c r="A25" s="15"/>
      <c r="B25" s="2" t="s">
        <v>47</v>
      </c>
      <c r="C25" s="4" t="s">
        <v>48</v>
      </c>
      <c r="D25">
        <v>5</v>
      </c>
      <c r="E25">
        <v>0</v>
      </c>
      <c r="F25" s="8">
        <f t="shared" si="0"/>
        <v>0</v>
      </c>
    </row>
    <row r="26" spans="1:6" ht="33.75" customHeight="1" x14ac:dyDescent="0.2">
      <c r="A26" s="15"/>
      <c r="B26" s="2" t="s">
        <v>49</v>
      </c>
      <c r="C26" s="3" t="s">
        <v>50</v>
      </c>
      <c r="D26">
        <v>1</v>
      </c>
      <c r="E26">
        <v>0</v>
      </c>
      <c r="F26" s="8">
        <f t="shared" si="0"/>
        <v>0</v>
      </c>
    </row>
    <row r="27" spans="1:6" ht="33.75" customHeight="1" x14ac:dyDescent="0.2">
      <c r="A27" s="15"/>
      <c r="B27" s="2" t="s">
        <v>51</v>
      </c>
      <c r="C27" s="3" t="s">
        <v>52</v>
      </c>
      <c r="D27">
        <v>2</v>
      </c>
      <c r="E27">
        <v>0</v>
      </c>
      <c r="F27" s="8">
        <f t="shared" si="0"/>
        <v>0</v>
      </c>
    </row>
    <row r="28" spans="1:6" ht="33.75" customHeight="1" x14ac:dyDescent="0.2">
      <c r="A28" s="15"/>
      <c r="B28" s="2" t="s">
        <v>53</v>
      </c>
      <c r="C28" s="4" t="s">
        <v>54</v>
      </c>
      <c r="D28">
        <v>5</v>
      </c>
      <c r="E28">
        <v>0</v>
      </c>
      <c r="F28" s="8">
        <f t="shared" si="0"/>
        <v>0</v>
      </c>
    </row>
    <row r="29" spans="1:6" ht="33.75" customHeight="1" x14ac:dyDescent="0.2">
      <c r="A29" s="15"/>
      <c r="B29" s="2" t="s">
        <v>55</v>
      </c>
      <c r="C29" s="4" t="s">
        <v>56</v>
      </c>
      <c r="D29">
        <v>2</v>
      </c>
      <c r="E29">
        <v>0</v>
      </c>
      <c r="F29" s="8">
        <f t="shared" si="0"/>
        <v>0</v>
      </c>
    </row>
    <row r="30" spans="1:6" ht="33.75" customHeight="1" x14ac:dyDescent="0.2">
      <c r="A30" s="15"/>
      <c r="B30" s="2" t="s">
        <v>57</v>
      </c>
      <c r="C30" s="3" t="s">
        <v>58</v>
      </c>
      <c r="D30">
        <v>2</v>
      </c>
      <c r="E30">
        <v>0</v>
      </c>
      <c r="F30" s="8">
        <f t="shared" si="0"/>
        <v>0</v>
      </c>
    </row>
    <row r="31" spans="1:6" ht="33.75" customHeight="1" x14ac:dyDescent="0.2">
      <c r="A31" s="15"/>
      <c r="B31" s="2" t="s">
        <v>59</v>
      </c>
      <c r="C31" s="3" t="s">
        <v>60</v>
      </c>
      <c r="D31">
        <v>2</v>
      </c>
      <c r="E31">
        <v>0</v>
      </c>
      <c r="F31" s="8">
        <f t="shared" si="0"/>
        <v>0</v>
      </c>
    </row>
    <row r="32" spans="1:6" ht="33.75" customHeight="1" x14ac:dyDescent="0.2">
      <c r="A32" s="15"/>
      <c r="B32" s="2" t="s">
        <v>61</v>
      </c>
      <c r="C32" s="3" t="s">
        <v>62</v>
      </c>
      <c r="D32">
        <v>2</v>
      </c>
      <c r="E32">
        <v>0</v>
      </c>
      <c r="F32" s="8">
        <f t="shared" si="0"/>
        <v>0</v>
      </c>
    </row>
    <row r="33" spans="1:6" ht="33.75" customHeight="1" x14ac:dyDescent="0.2">
      <c r="A33" s="15"/>
      <c r="B33" s="2" t="s">
        <v>63</v>
      </c>
      <c r="C33" s="3" t="s">
        <v>64</v>
      </c>
      <c r="D33">
        <v>1</v>
      </c>
      <c r="E33">
        <v>0</v>
      </c>
      <c r="F33" s="8">
        <f t="shared" si="0"/>
        <v>0</v>
      </c>
    </row>
    <row r="34" spans="1:6" ht="33.75" customHeight="1" x14ac:dyDescent="0.2">
      <c r="A34" s="15"/>
      <c r="B34" s="2" t="s">
        <v>65</v>
      </c>
      <c r="C34" s="3" t="s">
        <v>66</v>
      </c>
      <c r="D34">
        <v>1</v>
      </c>
      <c r="E34">
        <v>0</v>
      </c>
      <c r="F34" s="8">
        <f t="shared" si="0"/>
        <v>0</v>
      </c>
    </row>
    <row r="35" spans="1:6" ht="33.75" customHeight="1" x14ac:dyDescent="0.2">
      <c r="A35" s="15"/>
      <c r="B35" s="2" t="s">
        <v>67</v>
      </c>
      <c r="C35" s="3" t="s">
        <v>68</v>
      </c>
      <c r="D35">
        <v>2</v>
      </c>
      <c r="E35">
        <v>0</v>
      </c>
      <c r="F35" s="8">
        <f t="shared" si="0"/>
        <v>0</v>
      </c>
    </row>
    <row r="36" spans="1:6" ht="33.75" customHeight="1" x14ac:dyDescent="0.2">
      <c r="A36" s="15"/>
      <c r="B36" s="2" t="s">
        <v>69</v>
      </c>
      <c r="C36" s="4" t="s">
        <v>70</v>
      </c>
      <c r="D36">
        <v>2</v>
      </c>
      <c r="E36">
        <v>0</v>
      </c>
      <c r="F36" s="8">
        <f t="shared" si="0"/>
        <v>0</v>
      </c>
    </row>
    <row r="37" spans="1:6" ht="33.75" customHeight="1" x14ac:dyDescent="0.2">
      <c r="A37" s="15"/>
      <c r="B37" s="2" t="s">
        <v>71</v>
      </c>
      <c r="C37" s="4" t="s">
        <v>72</v>
      </c>
      <c r="D37">
        <v>2</v>
      </c>
      <c r="E37">
        <v>0</v>
      </c>
      <c r="F37" s="8">
        <f t="shared" si="0"/>
        <v>0</v>
      </c>
    </row>
    <row r="38" spans="1:6" ht="49.7" customHeight="1" x14ac:dyDescent="0.2">
      <c r="A38" s="15"/>
      <c r="B38" s="2" t="s">
        <v>73</v>
      </c>
      <c r="C38" s="4" t="s">
        <v>74</v>
      </c>
      <c r="D38">
        <v>3</v>
      </c>
      <c r="E38">
        <v>0</v>
      </c>
      <c r="F38" s="8">
        <f t="shared" si="0"/>
        <v>0</v>
      </c>
    </row>
    <row r="39" spans="1:6" ht="49.7" customHeight="1" x14ac:dyDescent="0.2">
      <c r="A39" s="15"/>
      <c r="B39" s="2" t="s">
        <v>75</v>
      </c>
      <c r="C39" s="3" t="s">
        <v>76</v>
      </c>
      <c r="D39">
        <v>1</v>
      </c>
      <c r="E39">
        <v>0</v>
      </c>
      <c r="F39" s="8">
        <f t="shared" si="0"/>
        <v>0</v>
      </c>
    </row>
    <row r="40" spans="1:6" ht="33.75" customHeight="1" x14ac:dyDescent="0.2">
      <c r="A40" s="15"/>
      <c r="B40" s="2" t="s">
        <v>77</v>
      </c>
      <c r="C40" s="3" t="s">
        <v>78</v>
      </c>
      <c r="D40">
        <v>1</v>
      </c>
      <c r="E40">
        <v>0</v>
      </c>
      <c r="F40" s="8">
        <f t="shared" si="0"/>
        <v>0</v>
      </c>
    </row>
    <row r="41" spans="1:6" ht="33.75" customHeight="1" x14ac:dyDescent="0.2">
      <c r="A41" s="15"/>
      <c r="B41" s="2" t="s">
        <v>79</v>
      </c>
      <c r="C41" s="3" t="s">
        <v>80</v>
      </c>
      <c r="D41">
        <v>2</v>
      </c>
      <c r="E41">
        <v>0</v>
      </c>
      <c r="F41" s="8">
        <f t="shared" si="0"/>
        <v>0</v>
      </c>
    </row>
    <row r="42" spans="1:6" ht="33.75" customHeight="1" x14ac:dyDescent="0.2">
      <c r="A42" s="15"/>
      <c r="B42" s="2" t="s">
        <v>81</v>
      </c>
      <c r="C42" s="3" t="s">
        <v>82</v>
      </c>
      <c r="D42">
        <v>3</v>
      </c>
      <c r="E42">
        <v>0</v>
      </c>
      <c r="F42" s="8">
        <f t="shared" si="0"/>
        <v>0</v>
      </c>
    </row>
    <row r="43" spans="1:6" ht="33.75" customHeight="1" x14ac:dyDescent="0.2">
      <c r="A43" s="16"/>
      <c r="B43" s="2" t="s">
        <v>83</v>
      </c>
      <c r="C43" s="3" t="s">
        <v>84</v>
      </c>
      <c r="D43">
        <v>2</v>
      </c>
      <c r="E43">
        <v>0</v>
      </c>
      <c r="F43" s="8">
        <f t="shared" si="0"/>
        <v>0</v>
      </c>
    </row>
    <row r="44" spans="1:6" ht="33.75" customHeight="1" x14ac:dyDescent="0.2">
      <c r="A44" s="17" t="s">
        <v>137</v>
      </c>
      <c r="B44" s="2" t="s">
        <v>85</v>
      </c>
      <c r="C44" s="3" t="s">
        <v>86</v>
      </c>
      <c r="D44">
        <v>3</v>
      </c>
      <c r="E44">
        <v>0</v>
      </c>
      <c r="F44" s="8">
        <f t="shared" si="0"/>
        <v>0</v>
      </c>
    </row>
    <row r="45" spans="1:6" ht="33.75" customHeight="1" x14ac:dyDescent="0.2">
      <c r="A45" s="18"/>
      <c r="B45" s="2" t="s">
        <v>87</v>
      </c>
      <c r="C45" s="3" t="s">
        <v>88</v>
      </c>
      <c r="D45">
        <v>3</v>
      </c>
      <c r="E45">
        <v>0</v>
      </c>
      <c r="F45" s="8">
        <f t="shared" si="0"/>
        <v>0</v>
      </c>
    </row>
    <row r="46" spans="1:6" ht="33.75" customHeight="1" x14ac:dyDescent="0.2">
      <c r="A46" s="18"/>
      <c r="B46" s="2" t="s">
        <v>89</v>
      </c>
      <c r="C46" s="3" t="s">
        <v>90</v>
      </c>
      <c r="D46">
        <v>1</v>
      </c>
      <c r="E46">
        <v>0</v>
      </c>
      <c r="F46" s="8">
        <f t="shared" si="0"/>
        <v>0</v>
      </c>
    </row>
    <row r="47" spans="1:6" ht="33.75" customHeight="1" x14ac:dyDescent="0.2">
      <c r="A47" s="18"/>
      <c r="B47" s="2" t="s">
        <v>91</v>
      </c>
      <c r="C47" s="3" t="s">
        <v>92</v>
      </c>
      <c r="D47">
        <v>4</v>
      </c>
      <c r="E47">
        <v>0</v>
      </c>
      <c r="F47" s="8">
        <f t="shared" si="0"/>
        <v>0</v>
      </c>
    </row>
    <row r="48" spans="1:6" ht="33.75" customHeight="1" x14ac:dyDescent="0.2">
      <c r="A48" s="18"/>
      <c r="B48" s="2" t="s">
        <v>93</v>
      </c>
      <c r="C48" s="3" t="s">
        <v>94</v>
      </c>
      <c r="D48">
        <v>2</v>
      </c>
      <c r="E48">
        <v>0</v>
      </c>
      <c r="F48" s="8">
        <f t="shared" si="0"/>
        <v>0</v>
      </c>
    </row>
    <row r="49" spans="1:6" ht="33.75" customHeight="1" x14ac:dyDescent="0.2">
      <c r="A49" s="18"/>
      <c r="B49" s="2" t="s">
        <v>95</v>
      </c>
      <c r="C49" s="3" t="s">
        <v>96</v>
      </c>
      <c r="D49">
        <v>1</v>
      </c>
      <c r="E49">
        <v>0</v>
      </c>
      <c r="F49" s="8">
        <f t="shared" si="0"/>
        <v>0</v>
      </c>
    </row>
    <row r="50" spans="1:6" ht="33.75" customHeight="1" x14ac:dyDescent="0.2">
      <c r="A50" s="18"/>
      <c r="B50" s="2" t="s">
        <v>97</v>
      </c>
      <c r="C50" s="3" t="s">
        <v>98</v>
      </c>
      <c r="D50">
        <v>1</v>
      </c>
      <c r="E50">
        <v>0</v>
      </c>
      <c r="F50" s="8">
        <f t="shared" si="0"/>
        <v>0</v>
      </c>
    </row>
    <row r="51" spans="1:6" ht="33.75" customHeight="1" x14ac:dyDescent="0.2">
      <c r="A51" s="18"/>
      <c r="B51" s="2" t="s">
        <v>99</v>
      </c>
      <c r="C51" s="3" t="s">
        <v>100</v>
      </c>
      <c r="D51">
        <v>1</v>
      </c>
      <c r="E51">
        <v>0</v>
      </c>
      <c r="F51" s="8">
        <f t="shared" si="0"/>
        <v>0</v>
      </c>
    </row>
    <row r="52" spans="1:6" ht="18.75" customHeight="1" x14ac:dyDescent="0.2">
      <c r="A52" s="19"/>
      <c r="B52" s="2" t="s">
        <v>101</v>
      </c>
      <c r="C52" s="3" t="s">
        <v>102</v>
      </c>
      <c r="D52">
        <v>2</v>
      </c>
      <c r="E52">
        <v>0</v>
      </c>
      <c r="F52" s="8">
        <f t="shared" si="0"/>
        <v>0</v>
      </c>
    </row>
    <row r="53" spans="1:6" ht="21" customHeight="1" x14ac:dyDescent="0.2">
      <c r="A53" s="13" t="s">
        <v>138</v>
      </c>
      <c r="B53" s="2" t="s">
        <v>103</v>
      </c>
      <c r="C53" s="3" t="s">
        <v>104</v>
      </c>
      <c r="D53">
        <v>2</v>
      </c>
      <c r="E53">
        <v>0</v>
      </c>
      <c r="F53" s="8">
        <f t="shared" si="0"/>
        <v>0</v>
      </c>
    </row>
    <row r="54" spans="1:6" ht="21.75" customHeight="1" x14ac:dyDescent="0.2">
      <c r="A54" s="14"/>
      <c r="B54" s="2" t="s">
        <v>105</v>
      </c>
      <c r="C54" s="3" t="s">
        <v>106</v>
      </c>
      <c r="D54">
        <v>1</v>
      </c>
      <c r="E54">
        <v>0</v>
      </c>
      <c r="F54" s="8">
        <f t="shared" si="0"/>
        <v>0</v>
      </c>
    </row>
    <row r="55" spans="1:6" ht="24" customHeight="1" x14ac:dyDescent="0.2">
      <c r="A55" s="14"/>
      <c r="B55" s="2" t="s">
        <v>107</v>
      </c>
      <c r="C55" s="3" t="s">
        <v>106</v>
      </c>
      <c r="D55">
        <v>1</v>
      </c>
      <c r="E55">
        <v>0</v>
      </c>
      <c r="F55" s="8">
        <f t="shared" si="0"/>
        <v>0</v>
      </c>
    </row>
    <row r="56" spans="1:6" ht="16.5" customHeight="1" x14ac:dyDescent="0.2">
      <c r="A56" s="14"/>
      <c r="B56" s="2" t="s">
        <v>108</v>
      </c>
      <c r="C56" s="3" t="s">
        <v>106</v>
      </c>
      <c r="D56">
        <v>1</v>
      </c>
      <c r="E56">
        <v>0</v>
      </c>
      <c r="F56" s="8">
        <f t="shared" si="0"/>
        <v>0</v>
      </c>
    </row>
    <row r="57" spans="1:6" ht="16.5" customHeight="1" x14ac:dyDescent="0.2">
      <c r="A57" s="14"/>
      <c r="B57" s="2" t="s">
        <v>109</v>
      </c>
      <c r="C57" s="3" t="s">
        <v>110</v>
      </c>
      <c r="D57">
        <v>1</v>
      </c>
      <c r="E57">
        <v>0</v>
      </c>
      <c r="F57" s="8">
        <f t="shared" si="0"/>
        <v>0</v>
      </c>
    </row>
    <row r="58" spans="1:6" ht="21" customHeight="1" x14ac:dyDescent="0.2">
      <c r="A58" s="14"/>
      <c r="B58" s="2" t="s">
        <v>111</v>
      </c>
      <c r="C58" s="3" t="s">
        <v>112</v>
      </c>
      <c r="D58">
        <v>2</v>
      </c>
      <c r="E58">
        <v>0</v>
      </c>
      <c r="F58" s="8">
        <f t="shared" si="0"/>
        <v>0</v>
      </c>
    </row>
    <row r="59" spans="1:6" ht="21.75" customHeight="1" x14ac:dyDescent="0.2">
      <c r="A59" s="14"/>
      <c r="B59" s="2" t="s">
        <v>113</v>
      </c>
      <c r="C59" s="3" t="s">
        <v>114</v>
      </c>
      <c r="D59">
        <v>1</v>
      </c>
      <c r="E59">
        <v>0</v>
      </c>
      <c r="F59" s="8">
        <f t="shared" si="0"/>
        <v>0</v>
      </c>
    </row>
    <row r="60" spans="1:6" ht="19.5" customHeight="1" x14ac:dyDescent="0.2">
      <c r="A60" s="14"/>
      <c r="B60" s="2" t="s">
        <v>115</v>
      </c>
      <c r="C60" s="3" t="s">
        <v>116</v>
      </c>
      <c r="D60">
        <v>1</v>
      </c>
      <c r="E60">
        <v>0</v>
      </c>
      <c r="F60" s="8">
        <f t="shared" si="0"/>
        <v>0</v>
      </c>
    </row>
    <row r="61" spans="1:6" ht="21.75" customHeight="1" x14ac:dyDescent="0.2">
      <c r="A61" s="20"/>
      <c r="B61" s="2" t="s">
        <v>117</v>
      </c>
      <c r="C61" s="3" t="s">
        <v>118</v>
      </c>
      <c r="D61">
        <v>1</v>
      </c>
      <c r="E61">
        <v>0</v>
      </c>
      <c r="F61" s="8">
        <f t="shared" si="0"/>
        <v>0</v>
      </c>
    </row>
    <row r="62" spans="1:6" ht="20.25" customHeight="1" x14ac:dyDescent="0.2">
      <c r="A62" s="17" t="s">
        <v>139</v>
      </c>
      <c r="B62" s="2" t="s">
        <v>119</v>
      </c>
      <c r="C62" s="3" t="s">
        <v>120</v>
      </c>
      <c r="D62">
        <v>1</v>
      </c>
      <c r="E62">
        <v>0</v>
      </c>
      <c r="F62" s="8">
        <f t="shared" si="0"/>
        <v>0</v>
      </c>
    </row>
    <row r="63" spans="1:6" ht="26.25" customHeight="1" x14ac:dyDescent="0.2">
      <c r="A63" s="18"/>
      <c r="B63" s="2" t="s">
        <v>121</v>
      </c>
      <c r="C63" s="3" t="s">
        <v>122</v>
      </c>
      <c r="D63">
        <v>3</v>
      </c>
      <c r="E63">
        <v>0</v>
      </c>
      <c r="F63" s="8">
        <f t="shared" si="0"/>
        <v>0</v>
      </c>
    </row>
    <row r="64" spans="1:6" ht="30" customHeight="1" x14ac:dyDescent="0.2">
      <c r="A64" s="18"/>
      <c r="B64" s="2" t="s">
        <v>123</v>
      </c>
      <c r="C64" s="4" t="s">
        <v>124</v>
      </c>
      <c r="D64">
        <v>5</v>
      </c>
      <c r="E64">
        <v>0</v>
      </c>
      <c r="F64" s="8">
        <f t="shared" si="0"/>
        <v>0</v>
      </c>
    </row>
    <row r="65" spans="1:6" ht="17.25" customHeight="1" x14ac:dyDescent="0.2">
      <c r="A65" s="18"/>
      <c r="B65" s="2" t="s">
        <v>125</v>
      </c>
      <c r="C65" s="3" t="s">
        <v>126</v>
      </c>
      <c r="D65">
        <v>3</v>
      </c>
      <c r="E65">
        <v>0</v>
      </c>
      <c r="F65" s="8">
        <f t="shared" si="0"/>
        <v>0</v>
      </c>
    </row>
    <row r="66" spans="1:6" ht="17.25" customHeight="1" x14ac:dyDescent="0.2">
      <c r="A66" s="18"/>
      <c r="B66" s="2" t="s">
        <v>127</v>
      </c>
      <c r="C66" s="3" t="s">
        <v>128</v>
      </c>
      <c r="D66">
        <v>1</v>
      </c>
      <c r="E66">
        <v>0</v>
      </c>
      <c r="F66" s="8">
        <f t="shared" si="0"/>
        <v>0</v>
      </c>
    </row>
    <row r="67" spans="1:6" ht="19.5" customHeight="1" x14ac:dyDescent="0.2">
      <c r="A67" s="19"/>
      <c r="B67" s="2" t="s">
        <v>129</v>
      </c>
      <c r="C67" s="3" t="s">
        <v>130</v>
      </c>
      <c r="D67">
        <v>1</v>
      </c>
      <c r="E67">
        <v>0</v>
      </c>
      <c r="F67" s="8">
        <f t="shared" si="0"/>
        <v>0</v>
      </c>
    </row>
  </sheetData>
  <mergeCells count="6">
    <mergeCell ref="A53:A61"/>
    <mergeCell ref="A18:A43"/>
    <mergeCell ref="A44:A52"/>
    <mergeCell ref="A62:A67"/>
    <mergeCell ref="A2:A5"/>
    <mergeCell ref="A6:A17"/>
  </mergeCells>
  <conditionalFormatting sqref="F6:F67">
    <cfRule type="colorScale" priority="1">
      <colorScale>
        <cfvo type="num" val="0"/>
        <cfvo type="num" val="0.5"/>
        <cfvo type="num" val="1"/>
        <color rgb="FFC00000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file.pdf</dc:title>
  <dc:creator>Merlin Kamgue</dc:creator>
  <cp:lastModifiedBy>Merlin Kamgue</cp:lastModifiedBy>
  <dcterms:created xsi:type="dcterms:W3CDTF">2026-08-31T15:42:29Z</dcterms:created>
  <dcterms:modified xsi:type="dcterms:W3CDTF">2026-09-02T02:39:47Z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2026-08-31T00:00:00Z</vt:filetime>
  </property>
  <property fmtid="{D5CDD505-2E9C-101B-9397-08002B2CF9AE}" pid="4" name="Creator">
    <vt:lpwstr>www.smallpdf.com</vt:lpwstr>
  </property>
  <property fmtid="{D5CDD505-2E9C-101B-9397-08002B2CF9AE}" pid="5" name="LastSaved">
    <vt:filetime>2026-08-31T00:00:00Z</vt:filetime>
  </property>
  <property fmtid="{D5CDD505-2E9C-101B-9397-08002B2CF9AE}" pid="6" name="Producer">
    <vt:lpwstr>3-Heights(TM) PDF Security Shell 4.8.25.2 (http://www.pdf-tools.com)</vt:lpwstr>
  </property>
</Properties>
</file>